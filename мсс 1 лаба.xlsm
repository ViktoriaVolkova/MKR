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filterPrivacy="1" codeName="ЭтаКнига" defaultThemeVersion="124226"/>
  <xr:revisionPtr revIDLastSave="0" documentId="13_ncr:1_{4256572C-E1BE-423F-84C3-B3E2241BBD38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  <sheet name="Лист2" sheetId="2" r:id="rId2"/>
    <sheet name="Лист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" i="1" l="1"/>
  <c r="F18" i="3"/>
  <c r="H18" i="3"/>
  <c r="J18" i="3"/>
  <c r="K18" i="3"/>
  <c r="L18" i="3"/>
  <c r="M18" i="3"/>
  <c r="O18" i="3"/>
  <c r="P18" i="3"/>
  <c r="R18" i="3"/>
  <c r="S18" i="3"/>
  <c r="T18" i="3"/>
  <c r="U18" i="3"/>
  <c r="W18" i="3"/>
  <c r="X18" i="3"/>
  <c r="Z18" i="3"/>
  <c r="AA18" i="3"/>
  <c r="AB18" i="3"/>
  <c r="AC18" i="3"/>
  <c r="AE18" i="3"/>
  <c r="AF18" i="3"/>
  <c r="AH18" i="3"/>
  <c r="AI18" i="3"/>
  <c r="AJ18" i="3"/>
  <c r="G13" i="3"/>
  <c r="H13" i="3" s="1"/>
  <c r="I13" i="3" s="1"/>
  <c r="J13" i="3" s="1"/>
  <c r="K13" i="3" s="1"/>
  <c r="L13" i="3" s="1"/>
  <c r="M13" i="3" s="1"/>
  <c r="N13" i="3" s="1"/>
  <c r="O13" i="3" s="1"/>
  <c r="P13" i="3" s="1"/>
  <c r="Q13" i="3" s="1"/>
  <c r="R13" i="3" s="1"/>
  <c r="S13" i="3" s="1"/>
  <c r="T13" i="3" s="1"/>
  <c r="U13" i="3" s="1"/>
  <c r="V13" i="3" s="1"/>
  <c r="W13" i="3" s="1"/>
  <c r="X13" i="3" s="1"/>
  <c r="Y13" i="3" s="1"/>
  <c r="Z13" i="3" s="1"/>
  <c r="AA13" i="3" s="1"/>
  <c r="AB13" i="3" s="1"/>
  <c r="AC13" i="3" s="1"/>
  <c r="AD13" i="3" s="1"/>
  <c r="AE13" i="3" s="1"/>
  <c r="AF13" i="3" s="1"/>
  <c r="AG13" i="3" s="1"/>
  <c r="AH13" i="3" s="1"/>
  <c r="AI13" i="3" s="1"/>
  <c r="AJ13" i="3" s="1"/>
  <c r="C4" i="3"/>
  <c r="N18" i="3" s="1"/>
  <c r="M17" i="2"/>
  <c r="N17" i="2"/>
  <c r="U17" i="2"/>
  <c r="V17" i="2"/>
  <c r="AC17" i="2"/>
  <c r="AD17" i="2"/>
  <c r="U18" i="2"/>
  <c r="Y18" i="2"/>
  <c r="F18" i="2"/>
  <c r="F14" i="2" s="1"/>
  <c r="G17" i="2" s="1"/>
  <c r="G13" i="2"/>
  <c r="H13" i="2" s="1"/>
  <c r="I13" i="2" s="1"/>
  <c r="J13" i="2" s="1"/>
  <c r="K13" i="2" s="1"/>
  <c r="L13" i="2" s="1"/>
  <c r="M13" i="2" s="1"/>
  <c r="N13" i="2" s="1"/>
  <c r="O13" i="2" s="1"/>
  <c r="P13" i="2" s="1"/>
  <c r="Q13" i="2" s="1"/>
  <c r="R13" i="2" s="1"/>
  <c r="S13" i="2" s="1"/>
  <c r="T13" i="2" s="1"/>
  <c r="U13" i="2" s="1"/>
  <c r="V13" i="2" s="1"/>
  <c r="W13" i="2" s="1"/>
  <c r="X13" i="2" s="1"/>
  <c r="Y13" i="2" s="1"/>
  <c r="Z13" i="2" s="1"/>
  <c r="AA13" i="2" s="1"/>
  <c r="AB13" i="2" s="1"/>
  <c r="AC13" i="2" s="1"/>
  <c r="AD13" i="2" s="1"/>
  <c r="AE13" i="2" s="1"/>
  <c r="AF13" i="2" s="1"/>
  <c r="AG13" i="2" s="1"/>
  <c r="AH13" i="2" s="1"/>
  <c r="AI13" i="2" s="1"/>
  <c r="AJ13" i="2" s="1"/>
  <c r="C4" i="2"/>
  <c r="B18" i="2" s="1"/>
  <c r="I17" i="1"/>
  <c r="J17" i="1"/>
  <c r="M17" i="1"/>
  <c r="O17" i="1"/>
  <c r="P17" i="1"/>
  <c r="Q17" i="1"/>
  <c r="R17" i="1"/>
  <c r="U17" i="1"/>
  <c r="W17" i="1"/>
  <c r="X17" i="1"/>
  <c r="Y17" i="1"/>
  <c r="Z17" i="1"/>
  <c r="AC17" i="1"/>
  <c r="AD17" i="1"/>
  <c r="AE17" i="1"/>
  <c r="AF17" i="1"/>
  <c r="AG17" i="1"/>
  <c r="AH17" i="1"/>
  <c r="G17" i="1"/>
  <c r="B18" i="1"/>
  <c r="AJ14" i="1"/>
  <c r="AI17" i="1" s="1"/>
  <c r="G13" i="1"/>
  <c r="H13" i="1" s="1"/>
  <c r="I13" i="1" s="1"/>
  <c r="J13" i="1" s="1"/>
  <c r="K13" i="1" s="1"/>
  <c r="L13" i="1" s="1"/>
  <c r="M13" i="1" s="1"/>
  <c r="N13" i="1" s="1"/>
  <c r="O13" i="1" s="1"/>
  <c r="P13" i="1" s="1"/>
  <c r="Q13" i="1" s="1"/>
  <c r="R13" i="1" s="1"/>
  <c r="S13" i="1" s="1"/>
  <c r="T13" i="1" s="1"/>
  <c r="U13" i="1" s="1"/>
  <c r="V13" i="1" s="1"/>
  <c r="W13" i="1" s="1"/>
  <c r="X13" i="1" s="1"/>
  <c r="Y13" i="1" s="1"/>
  <c r="Z13" i="1" s="1"/>
  <c r="AA13" i="1" s="1"/>
  <c r="AB13" i="1" s="1"/>
  <c r="AC13" i="1" s="1"/>
  <c r="AD13" i="1" s="1"/>
  <c r="AE13" i="1" s="1"/>
  <c r="AF13" i="1" s="1"/>
  <c r="AG13" i="1" s="1"/>
  <c r="AH13" i="1" s="1"/>
  <c r="AI13" i="1" s="1"/>
  <c r="AJ13" i="1" s="1"/>
  <c r="H17" i="1" l="1"/>
  <c r="Q18" i="2"/>
  <c r="AB17" i="2"/>
  <c r="T17" i="2"/>
  <c r="L17" i="2"/>
  <c r="M18" i="2"/>
  <c r="AA17" i="2"/>
  <c r="S17" i="2"/>
  <c r="K17" i="2"/>
  <c r="V17" i="1"/>
  <c r="N17" i="1"/>
  <c r="AH17" i="2"/>
  <c r="Z17" i="2"/>
  <c r="R17" i="2"/>
  <c r="J17" i="2"/>
  <c r="AG18" i="3"/>
  <c r="Y18" i="3"/>
  <c r="Q18" i="3"/>
  <c r="I18" i="3"/>
  <c r="Y17" i="2"/>
  <c r="Q17" i="2"/>
  <c r="I17" i="2"/>
  <c r="AG17" i="2"/>
  <c r="T17" i="1"/>
  <c r="AG18" i="2"/>
  <c r="AF17" i="2"/>
  <c r="P17" i="2"/>
  <c r="H17" i="2"/>
  <c r="AJ17" i="3"/>
  <c r="AB17" i="1"/>
  <c r="L17" i="1"/>
  <c r="X17" i="2"/>
  <c r="AA17" i="1"/>
  <c r="S17" i="1"/>
  <c r="K17" i="1"/>
  <c r="AC18" i="2"/>
  <c r="AE17" i="2"/>
  <c r="W17" i="2"/>
  <c r="O17" i="2"/>
  <c r="AD18" i="3"/>
  <c r="V18" i="3"/>
  <c r="F14" i="3"/>
  <c r="B18" i="3"/>
  <c r="AI17" i="2"/>
  <c r="G18" i="2"/>
  <c r="AF18" i="2"/>
  <c r="AB18" i="2"/>
  <c r="X18" i="2"/>
  <c r="T18" i="2"/>
  <c r="P18" i="2"/>
  <c r="L18" i="2"/>
  <c r="H18" i="2"/>
  <c r="I18" i="2"/>
  <c r="AH18" i="2"/>
  <c r="AD18" i="2"/>
  <c r="Z18" i="2"/>
  <c r="V18" i="2"/>
  <c r="R18" i="2"/>
  <c r="N18" i="2"/>
  <c r="J18" i="2"/>
  <c r="AI18" i="2"/>
  <c r="AE18" i="2"/>
  <c r="AA18" i="2"/>
  <c r="W18" i="2"/>
  <c r="S18" i="2"/>
  <c r="O18" i="2"/>
  <c r="K18" i="2"/>
  <c r="G17" i="3" l="1"/>
  <c r="Z17" i="3"/>
  <c r="AE17" i="3"/>
  <c r="AG17" i="3"/>
  <c r="H17" i="3"/>
  <c r="I17" i="3"/>
  <c r="T17" i="3"/>
  <c r="N17" i="3"/>
  <c r="W17" i="3"/>
  <c r="AI17" i="3"/>
  <c r="M17" i="3"/>
  <c r="AF17" i="3"/>
  <c r="AA17" i="3"/>
  <c r="R17" i="3"/>
  <c r="AD17" i="3"/>
  <c r="J17" i="3"/>
  <c r="Q17" i="3"/>
  <c r="Y17" i="3"/>
  <c r="AH17" i="3"/>
  <c r="AB17" i="3"/>
  <c r="K17" i="3"/>
  <c r="AC17" i="3"/>
  <c r="O17" i="3"/>
  <c r="V17" i="3"/>
  <c r="X17" i="3"/>
  <c r="P17" i="3"/>
  <c r="L17" i="3"/>
  <c r="S17" i="3"/>
  <c r="U17" i="3"/>
  <c r="G18" i="3" l="1"/>
</calcChain>
</file>

<file path=xl/sharedStrings.xml><?xml version="1.0" encoding="utf-8"?>
<sst xmlns="http://schemas.openxmlformats.org/spreadsheetml/2006/main" count="39" uniqueCount="16">
  <si>
    <t>L</t>
  </si>
  <si>
    <t>dx</t>
  </si>
  <si>
    <t>dt</t>
  </si>
  <si>
    <t>t</t>
  </si>
  <si>
    <t>Cp</t>
  </si>
  <si>
    <t>ro</t>
  </si>
  <si>
    <t>lambda</t>
  </si>
  <si>
    <t>T</t>
  </si>
  <si>
    <t>T_start</t>
  </si>
  <si>
    <t>T_end</t>
  </si>
  <si>
    <t>T_iter</t>
  </si>
  <si>
    <t>Q_start</t>
  </si>
  <si>
    <t>q</t>
  </si>
  <si>
    <t>alfa</t>
  </si>
  <si>
    <t>T_gas</t>
  </si>
  <si>
    <t>a(T_w-T_gas)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</si>
</sst>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0" fillId="0" borderId="2" xfId="0" applyBorder="1"/>
    <xf numFmtId="2" fontId="0" fillId="0" borderId="2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0" xfId="0" applyFill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4"/>
    </mc:Choice>
    <mc:Fallback>
      <c:style val="14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Лист1!$E$13</c:f>
              <c:strCache>
                <c:ptCount val="1"/>
                <c:pt idx="0">
                  <c:v>L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val>
            <c:numRef>
              <c:f>Лист1!$F$13:$AJ$13</c:f>
              <c:numCache>
                <c:formatCode>0.00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 formatCode="General">
                  <c:v>9.9999999999999936E-2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10-4A15-973B-02FF60C02C7E}"/>
            </c:ext>
          </c:extLst>
        </c:ser>
        <c:ser>
          <c:idx val="1"/>
          <c:order val="1"/>
          <c:tx>
            <c:strRef>
              <c:f>Лист1!$E$14</c:f>
              <c:strCache>
                <c:ptCount val="1"/>
                <c:pt idx="0">
                  <c:v>T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val>
            <c:numRef>
              <c:f>Лист1!$F$14:$AJ$14</c:f>
              <c:numCache>
                <c:formatCode>General</c:formatCode>
                <c:ptCount val="31"/>
                <c:pt idx="0">
                  <c:v>300</c:v>
                </c:pt>
                <c:pt idx="1">
                  <c:v>280.3451356906275</c:v>
                </c:pt>
                <c:pt idx="2">
                  <c:v>260.98550140677543</c:v>
                </c:pt>
                <c:pt idx="3">
                  <c:v>241.68925448971564</c:v>
                </c:pt>
                <c:pt idx="4">
                  <c:v>223.25830143373341</c:v>
                </c:pt>
                <c:pt idx="5">
                  <c:v>204.94974418109416</c:v>
                </c:pt>
                <c:pt idx="6">
                  <c:v>188.01783618323876</c:v>
                </c:pt>
                <c:pt idx="7">
                  <c:v>171.25910700372717</c:v>
                </c:pt>
                <c:pt idx="8">
                  <c:v>156.29830625258549</c:v>
                </c:pt>
                <c:pt idx="9">
                  <c:v>141.55035379302507</c:v>
                </c:pt>
                <c:pt idx="10">
                  <c:v>128.91021776688675</c:v>
                </c:pt>
                <c:pt idx="11">
                  <c:v>116.50979760314505</c:v>
                </c:pt>
                <c:pt idx="12">
                  <c:v>106.40567709089358</c:v>
                </c:pt>
                <c:pt idx="13">
                  <c:v>96.55487619169071</c:v>
                </c:pt>
                <c:pt idx="14">
                  <c:v>89.068092766976434</c:v>
                </c:pt>
                <c:pt idx="15">
                  <c:v>81.835567611964265</c:v>
                </c:pt>
                <c:pt idx="16">
                  <c:v>76.923159498966456</c:v>
                </c:pt>
                <c:pt idx="17">
                  <c:v>72.25464791067192</c:v>
                </c:pt>
                <c:pt idx="18">
                  <c:v>69.765430738472972</c:v>
                </c:pt>
                <c:pt idx="19">
                  <c:v>67.50023812873907</c:v>
                </c:pt>
                <c:pt idx="20">
                  <c:v>67.193816703717232</c:v>
                </c:pt>
                <c:pt idx="21">
                  <c:v>67.083944762128951</c:v>
                </c:pt>
                <c:pt idx="22">
                  <c:v>68.649886812201174</c:v>
                </c:pt>
                <c:pt idx="23">
                  <c:v>70.379100206678658</c:v>
                </c:pt>
                <c:pt idx="24">
                  <c:v>73.454444848712399</c:v>
                </c:pt>
                <c:pt idx="25">
                  <c:v>76.655552354286499</c:v>
                </c:pt>
                <c:pt idx="26">
                  <c:v>80.839843367225896</c:v>
                </c:pt>
                <c:pt idx="27">
                  <c:v>85.109475973702843</c:v>
                </c:pt>
                <c:pt idx="28">
                  <c:v>89.977328318826025</c:v>
                </c:pt>
                <c:pt idx="29">
                  <c:v>94.888286134147862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10-4A15-973B-02FF60C02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679296"/>
        <c:axId val="104702720"/>
      </c:lineChart>
      <c:catAx>
        <c:axId val="104679296"/>
        <c:scaling>
          <c:orientation val="minMax"/>
        </c:scaling>
        <c:delete val="0"/>
        <c:axPos val="b"/>
        <c:majorTickMark val="out"/>
        <c:minorTickMark val="none"/>
        <c:tickLblPos val="nextTo"/>
        <c:crossAx val="104702720"/>
        <c:crosses val="autoZero"/>
        <c:auto val="1"/>
        <c:lblAlgn val="ctr"/>
        <c:lblOffset val="100"/>
        <c:noMultiLvlLbl val="0"/>
      </c:catAx>
      <c:valAx>
        <c:axId val="104702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46792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5571062992125984"/>
          <c:y val="0.18115420948965752"/>
          <c:w val="0.74167125984251991"/>
          <c:h val="0.688805039619327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Лист2!$E$14</c:f>
              <c:strCache>
                <c:ptCount val="1"/>
                <c:pt idx="0">
                  <c:v>T</c:v>
                </c:pt>
              </c:strCache>
            </c:strRef>
          </c:tx>
          <c:xVal>
            <c:numRef>
              <c:f>Лист2!$F$13:$AJ$13</c:f>
              <c:numCache>
                <c:formatCode>0.00</c:formatCode>
                <c:ptCount val="31"/>
                <c:pt idx="0" formatCode="General">
                  <c:v>0</c:v>
                </c:pt>
                <c:pt idx="1">
                  <c:v>0.433</c:v>
                </c:pt>
                <c:pt idx="2">
                  <c:v>0.86599999999999999</c:v>
                </c:pt>
                <c:pt idx="3">
                  <c:v>1.2989999999999999</c:v>
                </c:pt>
                <c:pt idx="4">
                  <c:v>1.732</c:v>
                </c:pt>
                <c:pt idx="5">
                  <c:v>2.165</c:v>
                </c:pt>
                <c:pt idx="6">
                  <c:v>2.5979999999999999</c:v>
                </c:pt>
                <c:pt idx="7">
                  <c:v>3.0309999999999997</c:v>
                </c:pt>
                <c:pt idx="8">
                  <c:v>3.4639999999999995</c:v>
                </c:pt>
                <c:pt idx="9">
                  <c:v>3.8969999999999994</c:v>
                </c:pt>
                <c:pt idx="10">
                  <c:v>4.3299999999999992</c:v>
                </c:pt>
                <c:pt idx="11">
                  <c:v>4.762999999999999</c:v>
                </c:pt>
                <c:pt idx="12">
                  <c:v>5.1959999999999988</c:v>
                </c:pt>
                <c:pt idx="13">
                  <c:v>5.6289999999999987</c:v>
                </c:pt>
                <c:pt idx="14">
                  <c:v>6.0619999999999985</c:v>
                </c:pt>
                <c:pt idx="15">
                  <c:v>6.4949999999999983</c:v>
                </c:pt>
                <c:pt idx="16">
                  <c:v>6.9279999999999982</c:v>
                </c:pt>
                <c:pt idx="17">
                  <c:v>7.360999999999998</c:v>
                </c:pt>
                <c:pt idx="18">
                  <c:v>7.7939999999999978</c:v>
                </c:pt>
                <c:pt idx="19">
                  <c:v>8.2269999999999985</c:v>
                </c:pt>
                <c:pt idx="20">
                  <c:v>8.6599999999999984</c:v>
                </c:pt>
                <c:pt idx="21">
                  <c:v>9.0929999999999982</c:v>
                </c:pt>
                <c:pt idx="22">
                  <c:v>9.525999999999998</c:v>
                </c:pt>
                <c:pt idx="23">
                  <c:v>9.9589999999999979</c:v>
                </c:pt>
                <c:pt idx="24">
                  <c:v>10.391999999999998</c:v>
                </c:pt>
                <c:pt idx="25">
                  <c:v>10.824999999999998</c:v>
                </c:pt>
                <c:pt idx="26">
                  <c:v>11.257999999999997</c:v>
                </c:pt>
                <c:pt idx="27">
                  <c:v>11.690999999999997</c:v>
                </c:pt>
                <c:pt idx="28">
                  <c:v>12.123999999999997</c:v>
                </c:pt>
                <c:pt idx="29">
                  <c:v>12.556999999999997</c:v>
                </c:pt>
                <c:pt idx="30" formatCode="General">
                  <c:v>12.989999999999997</c:v>
                </c:pt>
              </c:numCache>
            </c:numRef>
          </c:xVal>
          <c:yVal>
            <c:numRef>
              <c:f>Лист2!$F$14:$AJ$14</c:f>
              <c:numCache>
                <c:formatCode>General</c:formatCode>
                <c:ptCount val="31"/>
                <c:pt idx="0">
                  <c:v>299.99997763459675</c:v>
                </c:pt>
                <c:pt idx="1">
                  <c:v>293.33331096793006</c:v>
                </c:pt>
                <c:pt idx="2">
                  <c:v>286.66664436466061</c:v>
                </c:pt>
                <c:pt idx="3">
                  <c:v>279.99997782460849</c:v>
                </c:pt>
                <c:pt idx="4">
                  <c:v>273.33331134741508</c:v>
                </c:pt>
                <c:pt idx="5">
                  <c:v>266.66664493254297</c:v>
                </c:pt>
                <c:pt idx="6">
                  <c:v>259.99997857927877</c:v>
                </c:pt>
                <c:pt idx="7">
                  <c:v>253.33331228673376</c:v>
                </c:pt>
                <c:pt idx="8">
                  <c:v>246.66664605384776</c:v>
                </c:pt>
                <c:pt idx="9">
                  <c:v>239.99997987939091</c:v>
                </c:pt>
                <c:pt idx="10">
                  <c:v>233.33331376196827</c:v>
                </c:pt>
                <c:pt idx="11">
                  <c:v>226.66664770002262</c:v>
                </c:pt>
                <c:pt idx="12">
                  <c:v>219.99998169184016</c:v>
                </c:pt>
                <c:pt idx="13">
                  <c:v>213.33331573555401</c:v>
                </c:pt>
                <c:pt idx="14">
                  <c:v>206.66664982915083</c:v>
                </c:pt>
                <c:pt idx="15">
                  <c:v>199.99998397047526</c:v>
                </c:pt>
                <c:pt idx="16">
                  <c:v>193.33331815723727</c:v>
                </c:pt>
                <c:pt idx="17">
                  <c:v>186.66665238701742</c:v>
                </c:pt>
                <c:pt idx="18">
                  <c:v>179.99998665727495</c:v>
                </c:pt>
                <c:pt idx="19">
                  <c:v>173.33332096535372</c:v>
                </c:pt>
                <c:pt idx="20">
                  <c:v>166.66665530849104</c:v>
                </c:pt>
                <c:pt idx="21">
                  <c:v>159.9999896838242</c:v>
                </c:pt>
                <c:pt idx="22">
                  <c:v>153.33332408839982</c:v>
                </c:pt>
                <c:pt idx="23">
                  <c:v>146.66665851918108</c:v>
                </c:pt>
                <c:pt idx="24">
                  <c:v>139.99999297305737</c:v>
                </c:pt>
                <c:pt idx="25">
                  <c:v>133.33332744685219</c:v>
                </c:pt>
                <c:pt idx="26">
                  <c:v>126.666661937333</c:v>
                </c:pt>
                <c:pt idx="27">
                  <c:v>119.99999644121954</c:v>
                </c:pt>
                <c:pt idx="28">
                  <c:v>113.33333095519386</c:v>
                </c:pt>
                <c:pt idx="29">
                  <c:v>106.66666547590927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CF-4312-A639-A60F2EC40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572032"/>
        <c:axId val="106992000"/>
      </c:scatterChart>
      <c:valAx>
        <c:axId val="106572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6992000"/>
        <c:crosses val="autoZero"/>
        <c:crossBetween val="midCat"/>
      </c:valAx>
      <c:valAx>
        <c:axId val="106992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5720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strRef>
              <c:f>Лист3!$E$13:$AI$13</c:f>
              <c:strCache>
                <c:ptCount val="31"/>
                <c:pt idx="0">
                  <c:v>L</c:v>
                </c:pt>
                <c:pt idx="1">
                  <c:v>0</c:v>
                </c:pt>
                <c:pt idx="2">
                  <c:v>0,43</c:v>
                </c:pt>
                <c:pt idx="3">
                  <c:v>0,87</c:v>
                </c:pt>
                <c:pt idx="4">
                  <c:v>1,30</c:v>
                </c:pt>
                <c:pt idx="5">
                  <c:v>1,73</c:v>
                </c:pt>
                <c:pt idx="6">
                  <c:v>2,17</c:v>
                </c:pt>
                <c:pt idx="7">
                  <c:v>2,60</c:v>
                </c:pt>
                <c:pt idx="8">
                  <c:v>3,03</c:v>
                </c:pt>
                <c:pt idx="9">
                  <c:v>3,46</c:v>
                </c:pt>
                <c:pt idx="10">
                  <c:v>3,90</c:v>
                </c:pt>
                <c:pt idx="11">
                  <c:v>4,33</c:v>
                </c:pt>
                <c:pt idx="12">
                  <c:v>4,76</c:v>
                </c:pt>
                <c:pt idx="13">
                  <c:v>5,20</c:v>
                </c:pt>
                <c:pt idx="14">
                  <c:v>5,63</c:v>
                </c:pt>
                <c:pt idx="15">
                  <c:v>6,06</c:v>
                </c:pt>
                <c:pt idx="16">
                  <c:v>6,50</c:v>
                </c:pt>
                <c:pt idx="17">
                  <c:v>6,93</c:v>
                </c:pt>
                <c:pt idx="18">
                  <c:v>7,36</c:v>
                </c:pt>
                <c:pt idx="19">
                  <c:v>7,79</c:v>
                </c:pt>
                <c:pt idx="20">
                  <c:v>8,23</c:v>
                </c:pt>
                <c:pt idx="21">
                  <c:v>8,66</c:v>
                </c:pt>
                <c:pt idx="22">
                  <c:v>9,09</c:v>
                </c:pt>
                <c:pt idx="23">
                  <c:v>9,53</c:v>
                </c:pt>
                <c:pt idx="24">
                  <c:v>9,96</c:v>
                </c:pt>
                <c:pt idx="25">
                  <c:v>10,39</c:v>
                </c:pt>
                <c:pt idx="26">
                  <c:v>10,83</c:v>
                </c:pt>
                <c:pt idx="27">
                  <c:v>11,26</c:v>
                </c:pt>
                <c:pt idx="28">
                  <c:v>11,69</c:v>
                </c:pt>
                <c:pt idx="29">
                  <c:v>12,12</c:v>
                </c:pt>
                <c:pt idx="30">
                  <c:v>12,56</c:v>
                </c:pt>
              </c:strCache>
            </c:strRef>
          </c:xVal>
          <c:yVal>
            <c:numRef>
              <c:f>Лист3!$E$14:$AI$14</c:f>
              <c:numCache>
                <c:formatCode>General</c:formatCode>
                <c:ptCount val="31"/>
                <c:pt idx="0">
                  <c:v>0</c:v>
                </c:pt>
                <c:pt idx="1">
                  <c:v>8.6308520968120348</c:v>
                </c:pt>
                <c:pt idx="2">
                  <c:v>10.934365294492313</c:v>
                </c:pt>
                <c:pt idx="3">
                  <c:v>13.670983294474883</c:v>
                </c:pt>
                <c:pt idx="4">
                  <c:v>15.987903553493743</c:v>
                </c:pt>
                <c:pt idx="5">
                  <c:v>18.746296795083527</c:v>
                </c:pt>
                <c:pt idx="6">
                  <c:v>21.102875019919708</c:v>
                </c:pt>
                <c:pt idx="7">
                  <c:v>23.903756881265046</c:v>
                </c:pt>
                <c:pt idx="8">
                  <c:v>26.324579015398022</c:v>
                </c:pt>
                <c:pt idx="9">
                  <c:v>29.186587315420056</c:v>
                </c:pt>
                <c:pt idx="10">
                  <c:v>31.693545624466893</c:v>
                </c:pt>
                <c:pt idx="11">
                  <c:v>34.632323202968479</c:v>
                </c:pt>
                <c:pt idx="12">
                  <c:v>37.243705788832607</c:v>
                </c:pt>
                <c:pt idx="13">
                  <c:v>40.27111742268707</c:v>
                </c:pt>
                <c:pt idx="14">
                  <c:v>43.000856086152744</c:v>
                </c:pt>
                <c:pt idx="15">
                  <c:v>46.124377908042959</c:v>
                </c:pt>
                <c:pt idx="16">
                  <c:v>48.981487616279161</c:v>
                </c:pt>
                <c:pt idx="17">
                  <c:v>52.203797678067474</c:v>
                </c:pt>
                <c:pt idx="18">
                  <c:v>55.192032520561035</c:v>
                </c:pt>
                <c:pt idx="19">
                  <c:v>58.510822275094476</c:v>
                </c:pt>
                <c:pt idx="20">
                  <c:v>61.628563239303041</c:v>
                </c:pt>
                <c:pt idx="21">
                  <c:v>65.036579857181636</c:v>
                </c:pt>
                <c:pt idx="22">
                  <c:v>68.276959420972318</c:v>
                </c:pt>
                <c:pt idx="23">
                  <c:v>71.762278427565576</c:v>
                </c:pt>
                <c:pt idx="24">
                  <c:v>75.113536299488047</c:v>
                </c:pt>
                <c:pt idx="25">
                  <c:v>78.660053474042286</c:v>
                </c:pt>
                <c:pt idx="26">
                  <c:v>82.106107300541453</c:v>
                </c:pt>
                <c:pt idx="27">
                  <c:v>85.694228612872763</c:v>
                </c:pt>
                <c:pt idx="28">
                  <c:v>89.215433612591951</c:v>
                </c:pt>
                <c:pt idx="29">
                  <c:v>92.822932676036714</c:v>
                </c:pt>
                <c:pt idx="30">
                  <c:v>96.396995440511134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2B-4940-8D8F-303417538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19872"/>
        <c:axId val="110328064"/>
      </c:scatterChart>
      <c:valAx>
        <c:axId val="11031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0328064"/>
        <c:crosses val="autoZero"/>
        <c:crossBetween val="midCat"/>
      </c:valAx>
      <c:valAx>
        <c:axId val="110328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03198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15875</xdr:colOff>
      <xdr:row>18</xdr:row>
      <xdr:rowOff>1</xdr:rowOff>
    </xdr:from>
    <xdr:to>
      <xdr:col>19</xdr:col>
      <xdr:colOff>206375</xdr:colOff>
      <xdr:row>33</xdr:row>
      <xdr:rowOff>7938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99785</xdr:colOff>
      <xdr:row>20</xdr:row>
      <xdr:rowOff>72572</xdr:rowOff>
    </xdr:from>
    <xdr:to>
      <xdr:col>25</xdr:col>
      <xdr:colOff>417285</xdr:colOff>
      <xdr:row>35</xdr:row>
      <xdr:rowOff>90715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209550</xdr:colOff>
      <xdr:row>19</xdr:row>
      <xdr:rowOff>63500</xdr:rowOff>
    </xdr:from>
    <xdr:to>
      <xdr:col>29</xdr:col>
      <xdr:colOff>514350</xdr:colOff>
      <xdr:row>34</xdr:row>
      <xdr:rowOff>44450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3:AJ18"/>
  <sheetViews>
    <sheetView tabSelected="1" zoomScale="80" zoomScaleNormal="80" workbookViewId="0">
      <selection activeCell="E24" sqref="E24"/>
    </sheetView>
  </sheetViews>
  <sheetFormatPr defaultRowHeight="15" x14ac:dyDescent="0.25"/>
  <cols>
    <col min="6" max="6" width="6.85546875" bestFit="1" customWidth="1"/>
    <col min="7" max="7" width="7" customWidth="1"/>
    <col min="8" max="15" width="5.85546875" bestFit="1" customWidth="1"/>
    <col min="16" max="16" width="4.85546875" bestFit="1" customWidth="1"/>
    <col min="17" max="25" width="5.85546875" bestFit="1" customWidth="1"/>
    <col min="26" max="26" width="4.85546875" bestFit="1" customWidth="1"/>
    <col min="27" max="35" width="5.85546875" bestFit="1" customWidth="1"/>
    <col min="36" max="36" width="4.85546875" bestFit="1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1">
        <f>C3/30</f>
        <v>3.3333333333333335E-3</v>
      </c>
    </row>
    <row r="5" spans="2:36" x14ac:dyDescent="0.25">
      <c r="B5" s="1" t="s">
        <v>2</v>
      </c>
      <c r="C5" s="1">
        <v>0.433</v>
      </c>
    </row>
    <row r="6" spans="2:36" x14ac:dyDescent="0.25">
      <c r="B6" s="1" t="s">
        <v>3</v>
      </c>
      <c r="C6" s="1">
        <v>60</v>
      </c>
      <c r="D6">
        <v>60.186999999999998</v>
      </c>
    </row>
    <row r="7" spans="2:36" x14ac:dyDescent="0.25">
      <c r="B7" s="1"/>
      <c r="C7" s="1"/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B11" s="1"/>
      <c r="C11" s="1"/>
    </row>
    <row r="12" spans="2:36" x14ac:dyDescent="0.25">
      <c r="B12" s="1"/>
      <c r="C12" s="1"/>
      <c r="F12" s="1">
        <v>1</v>
      </c>
      <c r="G12" s="1">
        <v>2</v>
      </c>
      <c r="H12" s="1">
        <v>3</v>
      </c>
      <c r="I12" s="1">
        <v>4</v>
      </c>
      <c r="J12" s="1">
        <v>5</v>
      </c>
      <c r="K12" s="1">
        <v>6</v>
      </c>
      <c r="L12" s="1">
        <v>7</v>
      </c>
      <c r="M12" s="1">
        <v>8</v>
      </c>
      <c r="N12" s="1">
        <v>9</v>
      </c>
      <c r="O12" s="1">
        <v>10</v>
      </c>
      <c r="P12" s="1">
        <v>11</v>
      </c>
      <c r="Q12" s="1">
        <v>12</v>
      </c>
      <c r="R12" s="1">
        <v>13</v>
      </c>
      <c r="S12" s="1">
        <v>14</v>
      </c>
      <c r="T12" s="1">
        <v>15</v>
      </c>
      <c r="U12" s="1">
        <v>16</v>
      </c>
      <c r="V12" s="1">
        <v>17</v>
      </c>
      <c r="W12" s="1">
        <v>18</v>
      </c>
      <c r="X12" s="1">
        <v>19</v>
      </c>
      <c r="Y12" s="1">
        <v>20</v>
      </c>
      <c r="Z12" s="1">
        <v>21</v>
      </c>
      <c r="AA12" s="1">
        <v>22</v>
      </c>
      <c r="AB12" s="1">
        <v>23</v>
      </c>
      <c r="AC12" s="1">
        <v>24</v>
      </c>
      <c r="AD12" s="1">
        <v>25</v>
      </c>
      <c r="AE12" s="1">
        <v>26</v>
      </c>
      <c r="AF12" s="1">
        <v>27</v>
      </c>
      <c r="AG12" s="1">
        <v>28</v>
      </c>
      <c r="AH12" s="1">
        <v>29</v>
      </c>
      <c r="AI12" s="1">
        <v>30</v>
      </c>
      <c r="AJ12" s="1">
        <v>31</v>
      </c>
    </row>
    <row r="13" spans="2:36" x14ac:dyDescent="0.25">
      <c r="B13" s="1" t="s">
        <v>8</v>
      </c>
      <c r="C13" s="1">
        <v>300</v>
      </c>
      <c r="E13" t="s">
        <v>0</v>
      </c>
      <c r="F13" s="2">
        <v>0</v>
      </c>
      <c r="G13" s="3">
        <f>F13+$C$4</f>
        <v>3.3333333333333335E-3</v>
      </c>
      <c r="H13" s="3">
        <f>G13+$C$4</f>
        <v>6.6666666666666671E-3</v>
      </c>
      <c r="I13" s="3">
        <f t="shared" ref="I13:AJ13" si="0">H13+$C$4</f>
        <v>0.01</v>
      </c>
      <c r="J13" s="3">
        <f t="shared" si="0"/>
        <v>1.3333333333333334E-2</v>
      </c>
      <c r="K13" s="3">
        <f t="shared" si="0"/>
        <v>1.6666666666666666E-2</v>
      </c>
      <c r="L13" s="3">
        <f t="shared" si="0"/>
        <v>0.02</v>
      </c>
      <c r="M13" s="3">
        <f t="shared" si="0"/>
        <v>2.3333333333333334E-2</v>
      </c>
      <c r="N13" s="3">
        <f t="shared" si="0"/>
        <v>2.6666666666666668E-2</v>
      </c>
      <c r="O13" s="3">
        <f t="shared" si="0"/>
        <v>3.0000000000000002E-2</v>
      </c>
      <c r="P13" s="3">
        <f t="shared" si="0"/>
        <v>3.3333333333333333E-2</v>
      </c>
      <c r="Q13" s="3">
        <f t="shared" si="0"/>
        <v>3.6666666666666667E-2</v>
      </c>
      <c r="R13" s="3">
        <f t="shared" si="0"/>
        <v>0.04</v>
      </c>
      <c r="S13" s="3">
        <f t="shared" si="0"/>
        <v>4.3333333333333335E-2</v>
      </c>
      <c r="T13" s="3">
        <f t="shared" si="0"/>
        <v>4.6666666666666669E-2</v>
      </c>
      <c r="U13" s="3">
        <f t="shared" si="0"/>
        <v>0.05</v>
      </c>
      <c r="V13" s="3">
        <f t="shared" si="0"/>
        <v>5.3333333333333337E-2</v>
      </c>
      <c r="W13" s="3">
        <f t="shared" si="0"/>
        <v>5.6666666666666671E-2</v>
      </c>
      <c r="X13" s="3">
        <f t="shared" si="0"/>
        <v>6.0000000000000005E-2</v>
      </c>
      <c r="Y13" s="3">
        <f t="shared" si="0"/>
        <v>6.3333333333333339E-2</v>
      </c>
      <c r="Z13" s="3">
        <f t="shared" si="0"/>
        <v>6.6666666666666666E-2</v>
      </c>
      <c r="AA13" s="3">
        <f t="shared" si="0"/>
        <v>6.9999999999999993E-2</v>
      </c>
      <c r="AB13" s="3">
        <f t="shared" si="0"/>
        <v>7.333333333333332E-2</v>
      </c>
      <c r="AC13" s="3">
        <f t="shared" si="0"/>
        <v>7.6666666666666647E-2</v>
      </c>
      <c r="AD13" s="3">
        <f t="shared" si="0"/>
        <v>7.9999999999999974E-2</v>
      </c>
      <c r="AE13" s="3">
        <f t="shared" si="0"/>
        <v>8.3333333333333301E-2</v>
      </c>
      <c r="AF13" s="3">
        <f t="shared" si="0"/>
        <v>8.6666666666666628E-2</v>
      </c>
      <c r="AG13" s="3">
        <f t="shared" si="0"/>
        <v>8.9999999999999955E-2</v>
      </c>
      <c r="AH13" s="3">
        <f t="shared" si="0"/>
        <v>9.3333333333333282E-2</v>
      </c>
      <c r="AI13" s="3">
        <f t="shared" si="0"/>
        <v>9.6666666666666609E-2</v>
      </c>
      <c r="AJ13" s="2">
        <f t="shared" si="0"/>
        <v>9.9999999999999936E-2</v>
      </c>
    </row>
    <row r="14" spans="2:36" x14ac:dyDescent="0.25">
      <c r="B14" s="1" t="s">
        <v>9</v>
      </c>
      <c r="C14" s="1">
        <v>100</v>
      </c>
      <c r="E14" s="1" t="s">
        <v>7</v>
      </c>
      <c r="F14" s="1">
        <v>300</v>
      </c>
      <c r="G14" s="1">
        <v>280.3451356906275</v>
      </c>
      <c r="H14" s="1">
        <v>260.98550140677543</v>
      </c>
      <c r="I14" s="1">
        <v>241.68925448971564</v>
      </c>
      <c r="J14" s="1">
        <v>223.25830143373341</v>
      </c>
      <c r="K14" s="1">
        <v>204.94974418109416</v>
      </c>
      <c r="L14" s="1">
        <v>188.01783618323876</v>
      </c>
      <c r="M14" s="1">
        <v>171.25910700372717</v>
      </c>
      <c r="N14" s="1">
        <v>156.29830625258549</v>
      </c>
      <c r="O14" s="1">
        <v>141.55035379302507</v>
      </c>
      <c r="P14" s="1">
        <v>128.91021776688675</v>
      </c>
      <c r="Q14" s="1">
        <v>116.50979760314505</v>
      </c>
      <c r="R14" s="1">
        <v>106.40567709089358</v>
      </c>
      <c r="S14" s="1">
        <v>96.55487619169071</v>
      </c>
      <c r="T14" s="1">
        <v>89.068092766976434</v>
      </c>
      <c r="U14" s="1">
        <v>81.835567611964265</v>
      </c>
      <c r="V14" s="1">
        <v>76.923159498966456</v>
      </c>
      <c r="W14" s="1">
        <v>72.25464791067192</v>
      </c>
      <c r="X14" s="1">
        <v>69.765430738472972</v>
      </c>
      <c r="Y14" s="1">
        <v>67.50023812873907</v>
      </c>
      <c r="Z14" s="1">
        <v>67.193816703717232</v>
      </c>
      <c r="AA14" s="1">
        <v>67.083944762128951</v>
      </c>
      <c r="AB14" s="1">
        <v>68.649886812201174</v>
      </c>
      <c r="AC14" s="1">
        <v>70.379100206678658</v>
      </c>
      <c r="AD14" s="1">
        <v>73.454444848712399</v>
      </c>
      <c r="AE14" s="1">
        <v>76.655552354286499</v>
      </c>
      <c r="AF14" s="1">
        <v>80.839843367225896</v>
      </c>
      <c r="AG14" s="1">
        <v>85.109475973702843</v>
      </c>
      <c r="AH14" s="1">
        <v>89.977328318826025</v>
      </c>
      <c r="AI14" s="1">
        <v>94.888286134147862</v>
      </c>
      <c r="AJ14" s="1">
        <f>C14</f>
        <v>100</v>
      </c>
    </row>
    <row r="17" spans="2:36" x14ac:dyDescent="0.25">
      <c r="E17" s="1" t="s">
        <v>10</v>
      </c>
      <c r="F17" s="1"/>
      <c r="G17" s="4">
        <f>G14+(($C$10*$C$5)/($C$9*$C$8))*((H14-2*G14+F14)/($C$4^2))</f>
        <v>280.49263715337787</v>
      </c>
      <c r="H17" s="4">
        <f t="shared" ref="H17:AI17" si="1">H14+(($C$10*$C$5)/($C$9*$C$8))*((I14-2*H14+G14)/($C$4^2))</f>
        <v>261.01717071041509</v>
      </c>
      <c r="I17" s="4">
        <f t="shared" si="1"/>
        <v>242.12156861492321</v>
      </c>
      <c r="J17" s="4">
        <f t="shared" si="1"/>
        <v>223.31945226009591</v>
      </c>
      <c r="K17" s="4">
        <f t="shared" si="1"/>
        <v>205.63753932800347</v>
      </c>
      <c r="L17" s="4">
        <f t="shared" si="1"/>
        <v>188.10435898517284</v>
      </c>
      <c r="M17" s="4">
        <f t="shared" si="1"/>
        <v>172.15737970697813</v>
      </c>
      <c r="N17" s="4">
        <f t="shared" si="1"/>
        <v>156.40464853364858</v>
      </c>
      <c r="O17" s="4">
        <f t="shared" si="1"/>
        <v>142.60345131110788</v>
      </c>
      <c r="P17" s="4">
        <f t="shared" si="1"/>
        <v>129.02998349967643</v>
      </c>
      <c r="Q17" s="4">
        <f t="shared" si="1"/>
        <v>117.65706423671651</v>
      </c>
      <c r="R17" s="4">
        <f t="shared" si="1"/>
        <v>106.53223946679748</v>
      </c>
      <c r="S17" s="4">
        <f t="shared" si="1"/>
        <v>97.735975691444821</v>
      </c>
      <c r="T17" s="4">
        <f t="shared" si="1"/>
        <v>89.19512411018529</v>
      </c>
      <c r="U17" s="4">
        <f t="shared" si="1"/>
        <v>82.994733780262976</v>
      </c>
      <c r="V17" s="4">
        <f t="shared" si="1"/>
        <v>77.045013954962442</v>
      </c>
      <c r="W17" s="4">
        <f t="shared" si="1"/>
        <v>73.343456928559675</v>
      </c>
      <c r="X17" s="4">
        <f t="shared" si="1"/>
        <v>69.877356856412234</v>
      </c>
      <c r="Y17" s="4">
        <f t="shared" si="1"/>
        <v>68.47887034756252</v>
      </c>
      <c r="Z17" s="4">
        <f t="shared" si="1"/>
        <v>67.292015849478844</v>
      </c>
      <c r="AA17" s="4">
        <f t="shared" si="1"/>
        <v>67.921207214116251</v>
      </c>
      <c r="AB17" s="4">
        <f t="shared" si="1"/>
        <v>68.73145968773288</v>
      </c>
      <c r="AC17" s="4">
        <f t="shared" si="1"/>
        <v>71.051648087669264</v>
      </c>
      <c r="AD17" s="4">
        <f t="shared" si="1"/>
        <v>73.51727791015044</v>
      </c>
      <c r="AE17" s="4">
        <f t="shared" si="1"/>
        <v>77.146765960466311</v>
      </c>
      <c r="AF17" s="4">
        <f t="shared" si="1"/>
        <v>80.882481340304849</v>
      </c>
      <c r="AG17" s="4">
        <f t="shared" si="1"/>
        <v>85.408355758511092</v>
      </c>
      <c r="AH17" s="4">
        <f t="shared" si="1"/>
        <v>89.998864474898355</v>
      </c>
      <c r="AI17" s="4">
        <f t="shared" si="1"/>
        <v>94.988586945547425</v>
      </c>
      <c r="AJ17" s="1"/>
    </row>
    <row r="18" spans="2:36" x14ac:dyDescent="0.25">
      <c r="B18">
        <f>(C9*C8*C4^2)/(2*C10)</f>
        <v>0.4333333333333334</v>
      </c>
    </row>
  </sheetData>
  <conditionalFormatting sqref="E14:AJ14">
    <cfRule type="colorScale" priority="7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F14:AJ14">
    <cfRule type="colorScale" priority="6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5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4">
      <colorScale>
        <cfvo type="min"/>
        <cfvo type="num" val="0"/>
        <cfvo type="max"/>
        <color theme="8"/>
        <color rgb="FFFFEB84"/>
        <color theme="9"/>
      </colorScale>
    </cfRule>
    <cfRule type="colorScale" priority="3">
      <colorScale>
        <cfvo type="min"/>
        <cfvo type="max"/>
        <color rgb="FF00B0F0"/>
        <color rgb="FFFF0000"/>
      </colorScale>
    </cfRule>
    <cfRule type="colorScale" priority="2">
      <colorScale>
        <cfvo type="min"/>
        <cfvo type="percentile" val="50"/>
        <cfvo type="max"/>
        <color theme="4"/>
        <color rgb="FFFFEB84"/>
        <color theme="9"/>
      </colorScale>
    </cfRule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3:AJ18"/>
  <sheetViews>
    <sheetView topLeftCell="A4" zoomScale="70" zoomScaleNormal="70" workbookViewId="0">
      <selection activeCell="G14" sqref="G14:AI14"/>
    </sheetView>
  </sheetViews>
  <sheetFormatPr defaultRowHeight="15" x14ac:dyDescent="0.25"/>
  <cols>
    <col min="7" max="7" width="9.5703125" bestFit="1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1">
        <f>C3/30</f>
        <v>3.3333333333333335E-3</v>
      </c>
    </row>
    <row r="5" spans="2:36" x14ac:dyDescent="0.25">
      <c r="B5" s="1" t="s">
        <v>2</v>
      </c>
      <c r="C5" s="1">
        <v>0.433</v>
      </c>
    </row>
    <row r="6" spans="2:36" x14ac:dyDescent="0.25">
      <c r="B6" s="1" t="s">
        <v>3</v>
      </c>
      <c r="C6" s="1">
        <v>5000</v>
      </c>
      <c r="D6">
        <v>5000.2839999999997</v>
      </c>
    </row>
    <row r="7" spans="2:36" x14ac:dyDescent="0.25">
      <c r="B7" s="1"/>
      <c r="C7" s="1"/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B11" s="1"/>
      <c r="C11" s="1"/>
    </row>
    <row r="12" spans="2:36" x14ac:dyDescent="0.25">
      <c r="B12" s="1"/>
      <c r="C12" s="1"/>
      <c r="F12" s="1">
        <v>1</v>
      </c>
      <c r="G12" s="1">
        <v>2</v>
      </c>
      <c r="H12" s="1">
        <v>3</v>
      </c>
      <c r="I12" s="1">
        <v>4</v>
      </c>
      <c r="J12" s="1">
        <v>5</v>
      </c>
      <c r="K12" s="1">
        <v>6</v>
      </c>
      <c r="L12" s="1">
        <v>7</v>
      </c>
      <c r="M12" s="1">
        <v>8</v>
      </c>
      <c r="N12" s="1">
        <v>9</v>
      </c>
      <c r="O12" s="1">
        <v>10</v>
      </c>
      <c r="P12" s="1">
        <v>11</v>
      </c>
      <c r="Q12" s="1">
        <v>12</v>
      </c>
      <c r="R12" s="1">
        <v>13</v>
      </c>
      <c r="S12" s="1">
        <v>14</v>
      </c>
      <c r="T12" s="1">
        <v>15</v>
      </c>
      <c r="U12" s="1">
        <v>16</v>
      </c>
      <c r="V12" s="1">
        <v>17</v>
      </c>
      <c r="W12" s="1">
        <v>18</v>
      </c>
      <c r="X12" s="1">
        <v>19</v>
      </c>
      <c r="Y12" s="1">
        <v>20</v>
      </c>
      <c r="Z12" s="1">
        <v>21</v>
      </c>
      <c r="AA12" s="1">
        <v>22</v>
      </c>
      <c r="AB12" s="1">
        <v>23</v>
      </c>
      <c r="AC12" s="1">
        <v>24</v>
      </c>
      <c r="AD12" s="1">
        <v>25</v>
      </c>
      <c r="AE12" s="1">
        <v>26</v>
      </c>
      <c r="AF12" s="1">
        <v>27</v>
      </c>
      <c r="AG12" s="1">
        <v>28</v>
      </c>
      <c r="AH12" s="1">
        <v>29</v>
      </c>
      <c r="AI12" s="1">
        <v>30</v>
      </c>
      <c r="AJ12" s="1">
        <v>31</v>
      </c>
    </row>
    <row r="13" spans="2:36" x14ac:dyDescent="0.25">
      <c r="B13" s="1" t="s">
        <v>11</v>
      </c>
      <c r="C13" s="1">
        <v>92000</v>
      </c>
      <c r="E13" t="s">
        <v>0</v>
      </c>
      <c r="F13" s="2">
        <v>0</v>
      </c>
      <c r="G13" s="3">
        <f t="shared" ref="G13:AJ13" si="0">F13+$C$5</f>
        <v>0.433</v>
      </c>
      <c r="H13" s="3">
        <f t="shared" si="0"/>
        <v>0.86599999999999999</v>
      </c>
      <c r="I13" s="3">
        <f t="shared" si="0"/>
        <v>1.2989999999999999</v>
      </c>
      <c r="J13" s="3">
        <f t="shared" si="0"/>
        <v>1.732</v>
      </c>
      <c r="K13" s="3">
        <f t="shared" si="0"/>
        <v>2.165</v>
      </c>
      <c r="L13" s="3">
        <f t="shared" si="0"/>
        <v>2.5979999999999999</v>
      </c>
      <c r="M13" s="3">
        <f t="shared" si="0"/>
        <v>3.0309999999999997</v>
      </c>
      <c r="N13" s="3">
        <f t="shared" si="0"/>
        <v>3.4639999999999995</v>
      </c>
      <c r="O13" s="3">
        <f t="shared" si="0"/>
        <v>3.8969999999999994</v>
      </c>
      <c r="P13" s="3">
        <f t="shared" si="0"/>
        <v>4.3299999999999992</v>
      </c>
      <c r="Q13" s="3">
        <f t="shared" si="0"/>
        <v>4.762999999999999</v>
      </c>
      <c r="R13" s="3">
        <f t="shared" si="0"/>
        <v>5.1959999999999988</v>
      </c>
      <c r="S13" s="3">
        <f t="shared" si="0"/>
        <v>5.6289999999999987</v>
      </c>
      <c r="T13" s="3">
        <f t="shared" si="0"/>
        <v>6.0619999999999985</v>
      </c>
      <c r="U13" s="3">
        <f t="shared" si="0"/>
        <v>6.4949999999999983</v>
      </c>
      <c r="V13" s="3">
        <f t="shared" si="0"/>
        <v>6.9279999999999982</v>
      </c>
      <c r="W13" s="3">
        <f t="shared" si="0"/>
        <v>7.360999999999998</v>
      </c>
      <c r="X13" s="3">
        <f t="shared" si="0"/>
        <v>7.7939999999999978</v>
      </c>
      <c r="Y13" s="3">
        <f t="shared" si="0"/>
        <v>8.2269999999999985</v>
      </c>
      <c r="Z13" s="3">
        <f t="shared" si="0"/>
        <v>8.6599999999999984</v>
      </c>
      <c r="AA13" s="3">
        <f t="shared" si="0"/>
        <v>9.0929999999999982</v>
      </c>
      <c r="AB13" s="3">
        <f t="shared" si="0"/>
        <v>9.525999999999998</v>
      </c>
      <c r="AC13" s="3">
        <f t="shared" si="0"/>
        <v>9.9589999999999979</v>
      </c>
      <c r="AD13" s="3">
        <f t="shared" si="0"/>
        <v>10.391999999999998</v>
      </c>
      <c r="AE13" s="3">
        <f t="shared" si="0"/>
        <v>10.824999999999998</v>
      </c>
      <c r="AF13" s="3">
        <f t="shared" si="0"/>
        <v>11.257999999999997</v>
      </c>
      <c r="AG13" s="3">
        <f t="shared" si="0"/>
        <v>11.690999999999997</v>
      </c>
      <c r="AH13" s="3">
        <f t="shared" si="0"/>
        <v>12.123999999999997</v>
      </c>
      <c r="AI13" s="3">
        <f t="shared" si="0"/>
        <v>12.556999999999997</v>
      </c>
      <c r="AJ13" s="2">
        <f t="shared" si="0"/>
        <v>12.989999999999997</v>
      </c>
    </row>
    <row r="14" spans="2:36" x14ac:dyDescent="0.25">
      <c r="B14" s="1" t="s">
        <v>9</v>
      </c>
      <c r="C14" s="1">
        <v>100</v>
      </c>
      <c r="E14" s="1" t="s">
        <v>7</v>
      </c>
      <c r="F14" s="1">
        <f>(F18/C10)*C4+G14</f>
        <v>299.99997763459675</v>
      </c>
      <c r="G14" s="1">
        <v>293.33331096793006</v>
      </c>
      <c r="H14" s="1">
        <v>286.66664436466061</v>
      </c>
      <c r="I14" s="1">
        <v>279.99997782460849</v>
      </c>
      <c r="J14" s="1">
        <v>273.33331134741508</v>
      </c>
      <c r="K14" s="1">
        <v>266.66664493254297</v>
      </c>
      <c r="L14" s="1">
        <v>259.99997857927877</v>
      </c>
      <c r="M14" s="1">
        <v>253.33331228673376</v>
      </c>
      <c r="N14" s="1">
        <v>246.66664605384776</v>
      </c>
      <c r="O14" s="1">
        <v>239.99997987939091</v>
      </c>
      <c r="P14" s="1">
        <v>233.33331376196827</v>
      </c>
      <c r="Q14" s="1">
        <v>226.66664770002262</v>
      </c>
      <c r="R14" s="1">
        <v>219.99998169184016</v>
      </c>
      <c r="S14" s="1">
        <v>213.33331573555401</v>
      </c>
      <c r="T14" s="1">
        <v>206.66664982915083</v>
      </c>
      <c r="U14" s="1">
        <v>199.99998397047526</v>
      </c>
      <c r="V14" s="1">
        <v>193.33331815723727</v>
      </c>
      <c r="W14" s="1">
        <v>186.66665238701742</v>
      </c>
      <c r="X14" s="1">
        <v>179.99998665727495</v>
      </c>
      <c r="Y14" s="1">
        <v>173.33332096535372</v>
      </c>
      <c r="Z14" s="1">
        <v>166.66665530849104</v>
      </c>
      <c r="AA14" s="1">
        <v>159.9999896838242</v>
      </c>
      <c r="AB14" s="1">
        <v>153.33332408839982</v>
      </c>
      <c r="AC14" s="1">
        <v>146.66665851918108</v>
      </c>
      <c r="AD14" s="1">
        <v>139.99999297305737</v>
      </c>
      <c r="AE14" s="1">
        <v>133.33332744685219</v>
      </c>
      <c r="AF14" s="1">
        <v>126.666661937333</v>
      </c>
      <c r="AG14" s="1">
        <v>119.99999644121954</v>
      </c>
      <c r="AH14" s="1">
        <v>113.33333095519386</v>
      </c>
      <c r="AI14" s="1">
        <v>106.66666547590927</v>
      </c>
      <c r="AJ14" s="1">
        <v>100</v>
      </c>
    </row>
    <row r="17" spans="2:36" x14ac:dyDescent="0.25">
      <c r="E17" s="1" t="s">
        <v>10</v>
      </c>
      <c r="F17" s="1"/>
      <c r="G17" s="4">
        <f>G14+(($C$10*$C$5)/($C$9*$C$8))*((H14-2*G14+F14)/($C$4^2))</f>
        <v>293.33331099960429</v>
      </c>
      <c r="H17" s="4">
        <f t="shared" ref="H17:AI17" si="1">H14+(($C$10*$C$5)/($C$9*$C$8))*((I14-2*H14+G14)/($C$4^2))</f>
        <v>286.66664439624498</v>
      </c>
      <c r="I17" s="4">
        <f t="shared" si="1"/>
        <v>279.99997785601369</v>
      </c>
      <c r="J17" s="4">
        <f t="shared" si="1"/>
        <v>273.33331137855174</v>
      </c>
      <c r="K17" s="4">
        <f t="shared" si="1"/>
        <v>266.66664496332322</v>
      </c>
      <c r="L17" s="4">
        <f t="shared" si="1"/>
        <v>259.99997860961503</v>
      </c>
      <c r="M17" s="4">
        <f t="shared" si="1"/>
        <v>253.33331231654034</v>
      </c>
      <c r="N17" s="4">
        <f t="shared" si="1"/>
        <v>246.66664608303986</v>
      </c>
      <c r="O17" s="4">
        <f t="shared" si="1"/>
        <v>239.99997990788609</v>
      </c>
      <c r="P17" s="4">
        <f t="shared" si="1"/>
        <v>233.33331378968543</v>
      </c>
      <c r="Q17" s="4">
        <f t="shared" si="1"/>
        <v>226.66664772688353</v>
      </c>
      <c r="R17" s="4">
        <f t="shared" si="1"/>
        <v>219.99998171776835</v>
      </c>
      <c r="S17" s="4">
        <f t="shared" si="1"/>
        <v>213.3333157604763</v>
      </c>
      <c r="T17" s="4">
        <f t="shared" si="1"/>
        <v>206.66664985299627</v>
      </c>
      <c r="U17" s="4">
        <f t="shared" si="1"/>
        <v>199.99998399317658</v>
      </c>
      <c r="V17" s="4">
        <f t="shared" si="1"/>
        <v>193.3333181787298</v>
      </c>
      <c r="W17" s="4">
        <f t="shared" si="1"/>
        <v>186.66665240724055</v>
      </c>
      <c r="X17" s="4">
        <f t="shared" si="1"/>
        <v>179.99998667617103</v>
      </c>
      <c r="Y17" s="4">
        <f t="shared" si="1"/>
        <v>173.33332098286951</v>
      </c>
      <c r="Z17" s="4">
        <f t="shared" si="1"/>
        <v>166.66665532457657</v>
      </c>
      <c r="AA17" s="4">
        <f t="shared" si="1"/>
        <v>159.99998969843418</v>
      </c>
      <c r="AB17" s="4">
        <f t="shared" si="1"/>
        <v>153.33332410149256</v>
      </c>
      <c r="AC17" s="4">
        <f t="shared" si="1"/>
        <v>146.6666585307197</v>
      </c>
      <c r="AD17" s="4">
        <f t="shared" si="1"/>
        <v>139.99999298300898</v>
      </c>
      <c r="AE17" s="4">
        <f t="shared" si="1"/>
        <v>133.33332745518877</v>
      </c>
      <c r="AF17" s="4">
        <f t="shared" si="1"/>
        <v>126.66666194403071</v>
      </c>
      <c r="AG17" s="4">
        <f t="shared" si="1"/>
        <v>119.99999644625954</v>
      </c>
      <c r="AH17" s="4">
        <f t="shared" si="1"/>
        <v>113.33333095856182</v>
      </c>
      <c r="AI17" s="4">
        <f t="shared" si="1"/>
        <v>106.66666547759563</v>
      </c>
      <c r="AJ17" s="1"/>
    </row>
    <row r="18" spans="2:36" x14ac:dyDescent="0.25">
      <c r="B18">
        <f>(C9*C8*C4^2)/(2*C10)</f>
        <v>0.4333333333333334</v>
      </c>
      <c r="E18" s="5" t="s">
        <v>12</v>
      </c>
      <c r="F18">
        <f>C13</f>
        <v>92000</v>
      </c>
      <c r="G18">
        <f t="shared" ref="G18:AI18" si="2">-$C$10*((G14-F14))/$C$4</f>
        <v>92000.000000000262</v>
      </c>
      <c r="H18">
        <f t="shared" si="2"/>
        <v>91999.999125118382</v>
      </c>
      <c r="I18">
        <f t="shared" si="2"/>
        <v>91999.998252719248</v>
      </c>
      <c r="J18">
        <f t="shared" si="2"/>
        <v>91999.997385269147</v>
      </c>
      <c r="K18">
        <f t="shared" si="2"/>
        <v>91999.996525235125</v>
      </c>
      <c r="L18">
        <f t="shared" si="2"/>
        <v>91999.995675045822</v>
      </c>
      <c r="M18">
        <f t="shared" si="2"/>
        <v>91999.994837121223</v>
      </c>
      <c r="N18">
        <f t="shared" si="2"/>
        <v>91999.994013826814</v>
      </c>
      <c r="O18">
        <f t="shared" si="2"/>
        <v>91999.993207504522</v>
      </c>
      <c r="P18">
        <f t="shared" si="2"/>
        <v>91999.992420432376</v>
      </c>
      <c r="Q18">
        <f t="shared" si="2"/>
        <v>91999.991654849931</v>
      </c>
      <c r="R18">
        <f t="shared" si="2"/>
        <v>91999.990912917943</v>
      </c>
      <c r="S18">
        <f t="shared" si="2"/>
        <v>91999.990196748899</v>
      </c>
      <c r="T18">
        <f t="shared" si="2"/>
        <v>91999.989508363898</v>
      </c>
      <c r="U18">
        <f t="shared" si="2"/>
        <v>91999.988849722882</v>
      </c>
      <c r="V18">
        <f t="shared" si="2"/>
        <v>91999.988222684173</v>
      </c>
      <c r="W18">
        <f t="shared" si="2"/>
        <v>91999.987629033931</v>
      </c>
      <c r="X18">
        <f t="shared" si="2"/>
        <v>91999.987070446165</v>
      </c>
      <c r="Y18">
        <f t="shared" si="2"/>
        <v>91999.986548512898</v>
      </c>
      <c r="Z18">
        <f t="shared" si="2"/>
        <v>91999.986064704921</v>
      </c>
      <c r="AA18">
        <f t="shared" si="2"/>
        <v>91999.985620402498</v>
      </c>
      <c r="AB18">
        <f t="shared" si="2"/>
        <v>91999.985216856396</v>
      </c>
      <c r="AC18">
        <f t="shared" si="2"/>
        <v>91999.984855218558</v>
      </c>
      <c r="AD18">
        <f t="shared" si="2"/>
        <v>91999.984536507196</v>
      </c>
      <c r="AE18">
        <f t="shared" si="2"/>
        <v>91999.984261631471</v>
      </c>
      <c r="AF18">
        <f t="shared" si="2"/>
        <v>91999.984031364831</v>
      </c>
      <c r="AG18">
        <f t="shared" si="2"/>
        <v>91999.983846365838</v>
      </c>
      <c r="AH18">
        <f t="shared" si="2"/>
        <v>91999.983707154344</v>
      </c>
      <c r="AI18">
        <f t="shared" si="2"/>
        <v>91999.983614127326</v>
      </c>
    </row>
  </sheetData>
  <conditionalFormatting sqref="E14:AJ14">
    <cfRule type="colorScale" priority="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B3:AJ18"/>
  <sheetViews>
    <sheetView workbookViewId="0">
      <selection activeCell="P26" sqref="P26"/>
    </sheetView>
  </sheetViews>
  <sheetFormatPr defaultRowHeight="15" x14ac:dyDescent="0.25"/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1">
        <f>C3/30</f>
        <v>3.3333333333333335E-3</v>
      </c>
    </row>
    <row r="5" spans="2:36" x14ac:dyDescent="0.25">
      <c r="B5" s="1" t="s">
        <v>2</v>
      </c>
      <c r="C5" s="1">
        <v>0.433</v>
      </c>
    </row>
    <row r="6" spans="2:36" x14ac:dyDescent="0.25">
      <c r="B6" s="1" t="s">
        <v>3</v>
      </c>
      <c r="C6" s="1">
        <v>200</v>
      </c>
      <c r="D6">
        <v>200.04599999999999</v>
      </c>
    </row>
    <row r="7" spans="2:36" x14ac:dyDescent="0.25">
      <c r="B7" s="1"/>
      <c r="C7" s="1"/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B11" s="1" t="s">
        <v>13</v>
      </c>
      <c r="C11" s="1">
        <v>1000</v>
      </c>
    </row>
    <row r="12" spans="2:36" x14ac:dyDescent="0.25">
      <c r="B12" s="1"/>
      <c r="C12" s="1"/>
      <c r="F12" s="1">
        <v>1</v>
      </c>
      <c r="G12" s="1">
        <v>2</v>
      </c>
      <c r="H12" s="1">
        <v>3</v>
      </c>
      <c r="I12" s="1">
        <v>4</v>
      </c>
      <c r="J12" s="1">
        <v>5</v>
      </c>
      <c r="K12" s="1">
        <v>6</v>
      </c>
      <c r="L12" s="1">
        <v>7</v>
      </c>
      <c r="M12" s="1">
        <v>8</v>
      </c>
      <c r="N12" s="1">
        <v>9</v>
      </c>
      <c r="O12" s="1">
        <v>10</v>
      </c>
      <c r="P12" s="1">
        <v>11</v>
      </c>
      <c r="Q12" s="1">
        <v>12</v>
      </c>
      <c r="R12" s="1">
        <v>13</v>
      </c>
      <c r="S12" s="1">
        <v>14</v>
      </c>
      <c r="T12" s="1">
        <v>15</v>
      </c>
      <c r="U12" s="1">
        <v>16</v>
      </c>
      <c r="V12" s="1">
        <v>17</v>
      </c>
      <c r="W12" s="1">
        <v>18</v>
      </c>
      <c r="X12" s="1">
        <v>19</v>
      </c>
      <c r="Y12" s="1">
        <v>20</v>
      </c>
      <c r="Z12" s="1">
        <v>21</v>
      </c>
      <c r="AA12" s="1">
        <v>22</v>
      </c>
      <c r="AB12" s="1">
        <v>23</v>
      </c>
      <c r="AC12" s="1">
        <v>24</v>
      </c>
      <c r="AD12" s="1">
        <v>25</v>
      </c>
      <c r="AE12" s="1">
        <v>26</v>
      </c>
      <c r="AF12" s="1">
        <v>27</v>
      </c>
      <c r="AG12" s="1">
        <v>28</v>
      </c>
      <c r="AH12" s="1">
        <v>29</v>
      </c>
      <c r="AI12" s="1">
        <v>30</v>
      </c>
      <c r="AJ12" s="1">
        <v>31</v>
      </c>
    </row>
    <row r="13" spans="2:36" x14ac:dyDescent="0.25">
      <c r="B13" s="1" t="s">
        <v>14</v>
      </c>
      <c r="C13" s="1">
        <v>20</v>
      </c>
      <c r="E13" t="s">
        <v>0</v>
      </c>
      <c r="F13" s="2">
        <v>0</v>
      </c>
      <c r="G13" s="3">
        <f t="shared" ref="G13:AJ13" si="0">F13+$C$5</f>
        <v>0.433</v>
      </c>
      <c r="H13" s="3">
        <f t="shared" si="0"/>
        <v>0.86599999999999999</v>
      </c>
      <c r="I13" s="3">
        <f t="shared" si="0"/>
        <v>1.2989999999999999</v>
      </c>
      <c r="J13" s="3">
        <f t="shared" si="0"/>
        <v>1.732</v>
      </c>
      <c r="K13" s="3">
        <f t="shared" si="0"/>
        <v>2.165</v>
      </c>
      <c r="L13" s="3">
        <f t="shared" si="0"/>
        <v>2.5979999999999999</v>
      </c>
      <c r="M13" s="3">
        <f t="shared" si="0"/>
        <v>3.0309999999999997</v>
      </c>
      <c r="N13" s="3">
        <f t="shared" si="0"/>
        <v>3.4639999999999995</v>
      </c>
      <c r="O13" s="3">
        <f t="shared" si="0"/>
        <v>3.8969999999999994</v>
      </c>
      <c r="P13" s="3">
        <f t="shared" si="0"/>
        <v>4.3299999999999992</v>
      </c>
      <c r="Q13" s="3">
        <f t="shared" si="0"/>
        <v>4.762999999999999</v>
      </c>
      <c r="R13" s="3">
        <f t="shared" si="0"/>
        <v>5.1959999999999988</v>
      </c>
      <c r="S13" s="3">
        <f t="shared" si="0"/>
        <v>5.6289999999999987</v>
      </c>
      <c r="T13" s="3">
        <f t="shared" si="0"/>
        <v>6.0619999999999985</v>
      </c>
      <c r="U13" s="3">
        <f t="shared" si="0"/>
        <v>6.4949999999999983</v>
      </c>
      <c r="V13" s="3">
        <f t="shared" si="0"/>
        <v>6.9279999999999982</v>
      </c>
      <c r="W13" s="3">
        <f t="shared" si="0"/>
        <v>7.360999999999998</v>
      </c>
      <c r="X13" s="3">
        <f t="shared" si="0"/>
        <v>7.7939999999999978</v>
      </c>
      <c r="Y13" s="3">
        <f t="shared" si="0"/>
        <v>8.2269999999999985</v>
      </c>
      <c r="Z13" s="3">
        <f t="shared" si="0"/>
        <v>8.6599999999999984</v>
      </c>
      <c r="AA13" s="3">
        <f t="shared" si="0"/>
        <v>9.0929999999999982</v>
      </c>
      <c r="AB13" s="3">
        <f t="shared" si="0"/>
        <v>9.525999999999998</v>
      </c>
      <c r="AC13" s="3">
        <f t="shared" si="0"/>
        <v>9.9589999999999979</v>
      </c>
      <c r="AD13" s="3">
        <f t="shared" si="0"/>
        <v>10.391999999999998</v>
      </c>
      <c r="AE13" s="3">
        <f t="shared" si="0"/>
        <v>10.824999999999998</v>
      </c>
      <c r="AF13" s="3">
        <f t="shared" si="0"/>
        <v>11.257999999999997</v>
      </c>
      <c r="AG13" s="3">
        <f t="shared" si="0"/>
        <v>11.690999999999997</v>
      </c>
      <c r="AH13" s="3">
        <f t="shared" si="0"/>
        <v>12.123999999999997</v>
      </c>
      <c r="AI13" s="3">
        <f t="shared" si="0"/>
        <v>12.556999999999997</v>
      </c>
      <c r="AJ13" s="2">
        <f t="shared" si="0"/>
        <v>12.989999999999997</v>
      </c>
    </row>
    <row r="14" spans="2:36" x14ac:dyDescent="0.25">
      <c r="B14" s="1" t="s">
        <v>9</v>
      </c>
      <c r="C14" s="1">
        <v>290</v>
      </c>
      <c r="E14" s="1" t="s">
        <v>7</v>
      </c>
      <c r="F14" s="1">
        <f>((F18/C10)*C4)-G14</f>
        <v>8.6308520968120348</v>
      </c>
      <c r="G14" s="1">
        <v>10.934365294492313</v>
      </c>
      <c r="H14" s="1">
        <v>13.670983294474883</v>
      </c>
      <c r="I14" s="1">
        <v>15.987903553493743</v>
      </c>
      <c r="J14" s="1">
        <v>18.746296795083527</v>
      </c>
      <c r="K14" s="1">
        <v>21.102875019919708</v>
      </c>
      <c r="L14" s="1">
        <v>23.903756881265046</v>
      </c>
      <c r="M14" s="1">
        <v>26.324579015398022</v>
      </c>
      <c r="N14" s="1">
        <v>29.186587315420056</v>
      </c>
      <c r="O14" s="1">
        <v>31.693545624466893</v>
      </c>
      <c r="P14" s="1">
        <v>34.632323202968479</v>
      </c>
      <c r="Q14" s="1">
        <v>37.243705788832607</v>
      </c>
      <c r="R14" s="1">
        <v>40.27111742268707</v>
      </c>
      <c r="S14" s="1">
        <v>43.000856086152744</v>
      </c>
      <c r="T14" s="1">
        <v>46.124377908042959</v>
      </c>
      <c r="U14" s="1">
        <v>48.981487616279161</v>
      </c>
      <c r="V14" s="1">
        <v>52.203797678067474</v>
      </c>
      <c r="W14" s="1">
        <v>55.192032520561035</v>
      </c>
      <c r="X14" s="1">
        <v>58.510822275094476</v>
      </c>
      <c r="Y14" s="1">
        <v>61.628563239303041</v>
      </c>
      <c r="Z14" s="1">
        <v>65.036579857181636</v>
      </c>
      <c r="AA14" s="1">
        <v>68.276959420972318</v>
      </c>
      <c r="AB14" s="1">
        <v>71.762278427565576</v>
      </c>
      <c r="AC14" s="1">
        <v>75.113536299488047</v>
      </c>
      <c r="AD14" s="1">
        <v>78.660053474042286</v>
      </c>
      <c r="AE14" s="1">
        <v>82.106107300541453</v>
      </c>
      <c r="AF14" s="1">
        <v>85.694228612872763</v>
      </c>
      <c r="AG14" s="1">
        <v>89.215433612591951</v>
      </c>
      <c r="AH14" s="1">
        <v>92.822932676036714</v>
      </c>
      <c r="AI14" s="1">
        <v>96.396995440511134</v>
      </c>
      <c r="AJ14" s="1">
        <v>100</v>
      </c>
    </row>
    <row r="17" spans="2:36" x14ac:dyDescent="0.25">
      <c r="E17" s="1" t="s">
        <v>10</v>
      </c>
      <c r="F17" s="1"/>
      <c r="G17" s="4">
        <f>G14+(($C$10*$C$5)/($C$9*$C$8))*((H14-2*G14+F14)/($C$4^2))</f>
        <v>11.150751116873343</v>
      </c>
      <c r="H17" s="4">
        <f t="shared" ref="H17:AJ17" si="1">H14+(($C$10*$C$5)/($C$9*$C$8))*((I14-2*H14+G14)/($C$4^2))</f>
        <v>13.461295846201091</v>
      </c>
      <c r="I17" s="4">
        <f t="shared" si="1"/>
        <v>16.208470247478218</v>
      </c>
      <c r="J17" s="4">
        <f t="shared" si="1"/>
        <v>18.545543830943938</v>
      </c>
      <c r="K17" s="4">
        <f t="shared" si="1"/>
        <v>21.324855952160245</v>
      </c>
      <c r="L17" s="4">
        <f t="shared" si="1"/>
        <v>23.713873194477024</v>
      </c>
      <c r="M17" s="4">
        <f t="shared" si="1"/>
        <v>26.545002411355672</v>
      </c>
      <c r="N17" s="4">
        <f t="shared" si="1"/>
        <v>29.009198877621294</v>
      </c>
      <c r="O17" s="4">
        <f t="shared" si="1"/>
        <v>31.909289174859861</v>
      </c>
      <c r="P17" s="4">
        <f t="shared" si="1"/>
        <v>34.468751627800764</v>
      </c>
      <c r="Q17" s="4">
        <f t="shared" si="1"/>
        <v>37.451560301655469</v>
      </c>
      <c r="R17" s="4">
        <f t="shared" si="1"/>
        <v>40.12239542709667</v>
      </c>
      <c r="S17" s="4">
        <f t="shared" si="1"/>
        <v>43.197596210304084</v>
      </c>
      <c r="T17" s="4">
        <f t="shared" si="1"/>
        <v>45.991274317413513</v>
      </c>
      <c r="U17" s="4">
        <f t="shared" si="1"/>
        <v>49.163947331380776</v>
      </c>
      <c r="V17" s="4">
        <f t="shared" si="1"/>
        <v>52.086850097350599</v>
      </c>
      <c r="W17" s="4">
        <f t="shared" si="1"/>
        <v>55.357182840076341</v>
      </c>
      <c r="X17" s="4">
        <f t="shared" si="1"/>
        <v>58.410375206389858</v>
      </c>
      <c r="Y17" s="4">
        <f t="shared" si="1"/>
        <v>61.773589421655878</v>
      </c>
      <c r="Z17" s="4">
        <f t="shared" si="1"/>
        <v>64.952825805927716</v>
      </c>
      <c r="AA17" s="4">
        <f t="shared" si="1"/>
        <v>68.399334934895606</v>
      </c>
      <c r="AB17" s="4">
        <f t="shared" si="1"/>
        <v>71.695299422205053</v>
      </c>
      <c r="AC17" s="4">
        <f t="shared" si="1"/>
        <v>75.211090851072143</v>
      </c>
      <c r="AD17" s="4">
        <f t="shared" si="1"/>
        <v>78.609860439764006</v>
      </c>
      <c r="AE17" s="4">
        <f t="shared" si="1"/>
        <v>82.177086402116814</v>
      </c>
      <c r="AF17" s="4">
        <f t="shared" si="1"/>
        <v>85.660796193610011</v>
      </c>
      <c r="AG17" s="4">
        <f t="shared" si="1"/>
        <v>89.258547454430229</v>
      </c>
      <c r="AH17" s="4">
        <f t="shared" si="1"/>
        <v>92.806227386666535</v>
      </c>
      <c r="AI17" s="4">
        <f t="shared" si="1"/>
        <v>96.411455206558742</v>
      </c>
      <c r="AJ17" s="4">
        <f t="shared" si="1"/>
        <v>48.238345029701541</v>
      </c>
    </row>
    <row r="18" spans="2:36" x14ac:dyDescent="0.25">
      <c r="B18">
        <f>(C9*C8*C4^2)/(2*C10)</f>
        <v>0.4333333333333334</v>
      </c>
      <c r="E18" s="5" t="s">
        <v>15</v>
      </c>
      <c r="F18">
        <f>C11*(C14-C13)</f>
        <v>270000</v>
      </c>
      <c r="G18">
        <f t="shared" ref="G18:AJ18" si="2">-$C$10*((G14-F14))/$C$4</f>
        <v>-31788.482127987838</v>
      </c>
      <c r="H18">
        <f t="shared" si="2"/>
        <v>-37765.32839975947</v>
      </c>
      <c r="I18">
        <f t="shared" si="2"/>
        <v>-31973.499574460257</v>
      </c>
      <c r="J18">
        <f t="shared" si="2"/>
        <v>-38065.826733939022</v>
      </c>
      <c r="K18">
        <f t="shared" si="2"/>
        <v>-32520.779502739289</v>
      </c>
      <c r="L18">
        <f t="shared" si="2"/>
        <v>-38652.169686565663</v>
      </c>
      <c r="M18">
        <f t="shared" si="2"/>
        <v>-33407.345451035071</v>
      </c>
      <c r="N18">
        <f t="shared" si="2"/>
        <v>-39495.714540304056</v>
      </c>
      <c r="O18">
        <f t="shared" si="2"/>
        <v>-34596.024664846351</v>
      </c>
      <c r="P18">
        <f t="shared" si="2"/>
        <v>-40555.130583321887</v>
      </c>
      <c r="Q18">
        <f t="shared" si="2"/>
        <v>-36037.07968492496</v>
      </c>
      <c r="R18">
        <f t="shared" si="2"/>
        <v>-41778.280547191593</v>
      </c>
      <c r="S18">
        <f t="shared" si="2"/>
        <v>-37670.393555826304</v>
      </c>
      <c r="T18">
        <f t="shared" si="2"/>
        <v>-43104.601142084954</v>
      </c>
      <c r="U18">
        <f t="shared" si="2"/>
        <v>-39428.113973659572</v>
      </c>
      <c r="V18">
        <f t="shared" si="2"/>
        <v>-44467.878852678725</v>
      </c>
      <c r="W18">
        <f t="shared" si="2"/>
        <v>-41237.640826411138</v>
      </c>
      <c r="X18">
        <f t="shared" si="2"/>
        <v>-45799.298612561477</v>
      </c>
      <c r="Y18">
        <f t="shared" si="2"/>
        <v>-43024.825306078194</v>
      </c>
      <c r="Z18">
        <f t="shared" si="2"/>
        <v>-47030.629326724607</v>
      </c>
      <c r="AA18">
        <f t="shared" si="2"/>
        <v>-44717.237980311416</v>
      </c>
      <c r="AB18">
        <f t="shared" si="2"/>
        <v>-48097.40229098696</v>
      </c>
      <c r="AC18">
        <f t="shared" si="2"/>
        <v>-46247.358632530093</v>
      </c>
      <c r="AD18">
        <f t="shared" si="2"/>
        <v>-48941.937008848501</v>
      </c>
      <c r="AE18">
        <f t="shared" si="2"/>
        <v>-47555.542805688499</v>
      </c>
      <c r="AF18">
        <f t="shared" si="2"/>
        <v>-49516.074110172078</v>
      </c>
      <c r="AG18">
        <f t="shared" si="2"/>
        <v>-48592.628996124797</v>
      </c>
      <c r="AH18">
        <f t="shared" si="2"/>
        <v>-49783.487075537727</v>
      </c>
      <c r="AI18">
        <f t="shared" si="2"/>
        <v>-49322.066149746985</v>
      </c>
      <c r="AJ18">
        <f t="shared" si="2"/>
        <v>-49721.462920946353</v>
      </c>
    </row>
  </sheetData>
  <conditionalFormatting sqref="E14:AJ14">
    <cfRule type="colorScale" priority="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2021-03-03T18:22:43Z</dcterms:modified>
</cp:coreProperties>
</file>